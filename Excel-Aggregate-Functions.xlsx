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243C7E7-096B-4D79-948F-7A57A20EF33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Notes - Basic Formulas" sheetId="1" r:id="rId1"/>
    <sheet name="Examples - Basic Formulas" sheetId="2" r:id="rId2"/>
    <sheet name="Tasks - Basic Formula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HVjMIwMZwZttSmRMntDWwLej7lU1Iv0YVbL6gv/valA="/>
    </ext>
  </extLst>
</workbook>
</file>

<file path=xl/calcChain.xml><?xml version="1.0" encoding="utf-8"?>
<calcChain xmlns="http://schemas.openxmlformats.org/spreadsheetml/2006/main">
  <c r="H13" i="2" l="1"/>
  <c r="N13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H11" i="4"/>
  <c r="N11" i="4"/>
  <c r="N10" i="4"/>
  <c r="N9" i="4"/>
  <c r="N8" i="4"/>
  <c r="N7" i="4"/>
  <c r="N6" i="4"/>
  <c r="G2" i="4"/>
  <c r="G3" i="4"/>
  <c r="H3" i="4" s="1"/>
  <c r="G4" i="4"/>
  <c r="H4" i="4" s="1"/>
  <c r="G5" i="4"/>
  <c r="H5" i="4" s="1"/>
  <c r="G6" i="4"/>
  <c r="H6" i="4" s="1"/>
  <c r="G7" i="4"/>
  <c r="H7" i="4" s="1"/>
  <c r="G8" i="4"/>
  <c r="H8" i="4" s="1"/>
  <c r="G9" i="4"/>
  <c r="H9" i="4" s="1"/>
  <c r="G10" i="4"/>
  <c r="H10" i="4" s="1"/>
  <c r="G11" i="4"/>
  <c r="G12" i="4"/>
  <c r="H12" i="4" s="1"/>
  <c r="G13" i="4"/>
  <c r="H13" i="4" s="1"/>
  <c r="G14" i="4"/>
  <c r="H14" i="4" s="1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H24" i="4" s="1"/>
  <c r="G25" i="4"/>
  <c r="H25" i="4" s="1"/>
  <c r="G26" i="4"/>
  <c r="H26" i="4" s="1"/>
  <c r="K7" i="2"/>
  <c r="K6" i="2"/>
  <c r="K5" i="2"/>
  <c r="K4" i="2"/>
  <c r="K3" i="2"/>
  <c r="K10" i="3"/>
  <c r="K4" i="3"/>
  <c r="K9" i="3"/>
  <c r="K8" i="3"/>
  <c r="K7" i="3"/>
  <c r="K6" i="3"/>
  <c r="K5" i="3"/>
  <c r="K3" i="3"/>
  <c r="H15" i="2"/>
  <c r="H17" i="2"/>
  <c r="H16" i="2"/>
  <c r="H14" i="2"/>
  <c r="N5" i="4" l="1"/>
  <c r="N4" i="4"/>
  <c r="H2" i="4"/>
  <c r="N12" i="4" l="1"/>
</calcChain>
</file>

<file path=xl/sharedStrings.xml><?xml version="1.0" encoding="utf-8"?>
<sst xmlns="http://schemas.openxmlformats.org/spreadsheetml/2006/main" count="204" uniqueCount="164">
  <si>
    <t>BASIC FORMULAS — NOTES</t>
  </si>
  <si>
    <t>Functions covered: SUM  |  MIN  |  MAX  |  COUNT  |  AVERAGE</t>
  </si>
  <si>
    <t>Function</t>
  </si>
  <si>
    <t>What It Does</t>
  </si>
  <si>
    <t>Syntax (type this in a cell)</t>
  </si>
  <si>
    <t>Important Note</t>
  </si>
  <si>
    <t>Common Use</t>
  </si>
  <si>
    <t>SUM</t>
  </si>
  <si>
    <t>Adds up all the numbers in a selected range.</t>
  </si>
  <si>
    <t>=SUM(B2:B10)</t>
  </si>
  <si>
    <t>Blank cells and text are automatically skipped.</t>
  </si>
  <si>
    <t>Total sales, total marks, total expenses</t>
  </si>
  <si>
    <t>MIN</t>
  </si>
  <si>
    <t>Returns the smallest number in a selected range.</t>
  </si>
  <si>
    <t>=MIN(B2:B10)</t>
  </si>
  <si>
    <t>Only looks at number cells. Text cells are ignored.</t>
  </si>
  <si>
    <t>Lowest score, cheapest product, minimum stock</t>
  </si>
  <si>
    <t>MAX</t>
  </si>
  <si>
    <t>Returns the largest number in a selected range.</t>
  </si>
  <si>
    <t>=MAX(B2:B10)</t>
  </si>
  <si>
    <t>Highest salary, top score, maximum temperature</t>
  </si>
  <si>
    <t>COUNT</t>
  </si>
  <si>
    <t>Counts how many cells in a range contain numbers.</t>
  </si>
  <si>
    <t>=COUNT(B2:B10)</t>
  </si>
  <si>
    <t>Does NOT count text or blank cells — only numbers.</t>
  </si>
  <si>
    <t>How many orders placed, how many scores recorded</t>
  </si>
  <si>
    <t>AVERAGE</t>
  </si>
  <si>
    <t>Calculates the mean (total ÷ count) of a number range.</t>
  </si>
  <si>
    <t>=AVERAGE(B2:B10)</t>
  </si>
  <si>
    <t>Blank cells are skipped. Cells with 0 are included.</t>
  </si>
  <si>
    <t>Average marks, average daily sales, average salary</t>
  </si>
  <si>
    <t>HOW TO USE: Click a blank cell → Type the formula exactly as shown → Press Enter</t>
  </si>
  <si>
    <t>BASIC FORMULAS — EXAMPLES  (Demo)</t>
  </si>
  <si>
    <t>Scenario: Monthly Rainfall (mm) recorded across 6 weather stations</t>
  </si>
  <si>
    <t>Station</t>
  </si>
  <si>
    <t>Jan</t>
  </si>
  <si>
    <t>Feb</t>
  </si>
  <si>
    <t>Mar</t>
  </si>
  <si>
    <t>Apr</t>
  </si>
  <si>
    <t>May</t>
  </si>
  <si>
    <t>Jun</t>
  </si>
  <si>
    <t>Station A</t>
  </si>
  <si>
    <t>Station B</t>
  </si>
  <si>
    <t>Station C</t>
  </si>
  <si>
    <t>Station D</t>
  </si>
  <si>
    <t>Station E</t>
  </si>
  <si>
    <t>Station F</t>
  </si>
  <si>
    <t>Formulas applied on January data (Column B, cells B4:B9)</t>
  </si>
  <si>
    <t>Formula</t>
  </si>
  <si>
    <t>Type this in Excel</t>
  </si>
  <si>
    <t>Result</t>
  </si>
  <si>
    <t>What it tells you</t>
  </si>
  <si>
    <t>=SUM(B4:B9)</t>
  </si>
  <si>
    <t>Total rainfall across all 6 stations in January</t>
  </si>
  <si>
    <t>=MIN(B4:B9)</t>
  </si>
  <si>
    <t>Lowest rainfall in January</t>
  </si>
  <si>
    <t>=MAX(B4:B9)</t>
  </si>
  <si>
    <t>highest rainfall in January</t>
  </si>
  <si>
    <t>=COUNT(B4:B9)</t>
  </si>
  <si>
    <t>How many stations have data recorded for January</t>
  </si>
  <si>
    <t>=AVERAGE(B4:B9)</t>
  </si>
  <si>
    <t>Average rainfall across all stations in January</t>
  </si>
  <si>
    <t>Column 2 = what you type  |  Column 3 = live result  |  Try changing the data above and watch Column 3 update!</t>
  </si>
  <si>
    <t>BASIC FORMULAS — STUDENT TASKS</t>
  </si>
  <si>
    <t>Write your answers in the YELLOW cells below using the correct formula</t>
  </si>
  <si>
    <t>Scenario: Weekly fruit sales (in kg) at a local market stall</t>
  </si>
  <si>
    <t>Task</t>
  </si>
  <si>
    <t>Question</t>
  </si>
  <si>
    <t>Answer</t>
  </si>
  <si>
    <t>Fruit</t>
  </si>
  <si>
    <t>Mon</t>
  </si>
  <si>
    <t>Tue</t>
  </si>
  <si>
    <t>Wed</t>
  </si>
  <si>
    <t>Thu</t>
  </si>
  <si>
    <t>Fri</t>
  </si>
  <si>
    <t>Sat</t>
  </si>
  <si>
    <t>Task 1</t>
  </si>
  <si>
    <t>What is the total Mango sold across all 7 days?</t>
  </si>
  <si>
    <t>Mango</t>
  </si>
  <si>
    <t>Task 2</t>
  </si>
  <si>
    <t>What is the total Banana sold across all 7 days?</t>
  </si>
  <si>
    <t>Banana</t>
  </si>
  <si>
    <t>Task 3</t>
  </si>
  <si>
    <t>What is the lowest sales number recorded on Monday?</t>
  </si>
  <si>
    <t>Apple</t>
  </si>
  <si>
    <t>Task 4</t>
  </si>
  <si>
    <t xml:space="preserve"> What is the highest sales number for Apple across the week?</t>
  </si>
  <si>
    <t>Watermelon</t>
  </si>
  <si>
    <t>Task 5</t>
  </si>
  <si>
    <t>How many fruits have sales data for Wednesday?</t>
  </si>
  <si>
    <t>Grapes</t>
  </si>
  <si>
    <t>Task 6</t>
  </si>
  <si>
    <t>What is the average sales on Saturday across all fruits?</t>
  </si>
  <si>
    <t>Orange</t>
  </si>
  <si>
    <t>Task 7</t>
  </si>
  <si>
    <t>What is the total sales across the entire week for ALL fruits?</t>
  </si>
  <si>
    <t>Task 8</t>
  </si>
  <si>
    <t>What is Total sale of mango and Orange</t>
  </si>
  <si>
    <t>Product</t>
  </si>
  <si>
    <t>Category</t>
  </si>
  <si>
    <t>Quantity</t>
  </si>
  <si>
    <t>Unit Price</t>
  </si>
  <si>
    <t>Supplier</t>
  </si>
  <si>
    <t>Rating</t>
  </si>
  <si>
    <t>Notebook</t>
  </si>
  <si>
    <t>Stationery</t>
  </si>
  <si>
    <t>ABC Traders</t>
  </si>
  <si>
    <t>Pen</t>
  </si>
  <si>
    <t>XYZ Supplies</t>
  </si>
  <si>
    <t>Total sale</t>
  </si>
  <si>
    <t>Pencil</t>
  </si>
  <si>
    <t>Average sale</t>
  </si>
  <si>
    <t>Eraser</t>
  </si>
  <si>
    <t>Total Products saled</t>
  </si>
  <si>
    <t>Marker</t>
  </si>
  <si>
    <t>Minimum rating</t>
  </si>
  <si>
    <t>Ruler</t>
  </si>
  <si>
    <t>School Mart</t>
  </si>
  <si>
    <t>maximum unit price</t>
  </si>
  <si>
    <t>Stapler</t>
  </si>
  <si>
    <t>Office Supplies</t>
  </si>
  <si>
    <t>Office Hub</t>
  </si>
  <si>
    <t>Total Number of Products</t>
  </si>
  <si>
    <t>Paper Pack</t>
  </si>
  <si>
    <t>Total Number of suppliers</t>
  </si>
  <si>
    <t>Glue Stick</t>
  </si>
  <si>
    <t xml:space="preserve">Total orders with Rating </t>
  </si>
  <si>
    <t>Highlighter</t>
  </si>
  <si>
    <t>File Folder</t>
  </si>
  <si>
    <t>Scissors</t>
  </si>
  <si>
    <t>Calculator</t>
  </si>
  <si>
    <t>Electronics</t>
  </si>
  <si>
    <t>Tech World</t>
  </si>
  <si>
    <t>USB Drive</t>
  </si>
  <si>
    <t>Mouse</t>
  </si>
  <si>
    <t>Gadget Store</t>
  </si>
  <si>
    <t>Keyboard</t>
  </si>
  <si>
    <t>Headphones</t>
  </si>
  <si>
    <t>Desk Lamp</t>
  </si>
  <si>
    <t>Furniture</t>
  </si>
  <si>
    <t>Home Needs</t>
  </si>
  <si>
    <t>Water Bottle</t>
  </si>
  <si>
    <t>Accessories</t>
  </si>
  <si>
    <t>Backpack</t>
  </si>
  <si>
    <t>Chair</t>
  </si>
  <si>
    <t>Furniture Hub</t>
  </si>
  <si>
    <t>Table</t>
  </si>
  <si>
    <t>Sticky Notes</t>
  </si>
  <si>
    <t>Binder Clips</t>
  </si>
  <si>
    <t>Whiteboard Marker</t>
  </si>
  <si>
    <t>Total rainfall across station c</t>
  </si>
  <si>
    <t>Tasks</t>
  </si>
  <si>
    <t>Average rainfall in april</t>
  </si>
  <si>
    <t>How many station have data recorded for january</t>
  </si>
  <si>
    <t>Minimum rainfall in station d</t>
  </si>
  <si>
    <t>Total rainfall across all stations in jan and may</t>
  </si>
  <si>
    <t>Answers</t>
  </si>
  <si>
    <t>Column1</t>
  </si>
  <si>
    <t>Total price</t>
  </si>
  <si>
    <t>Column2</t>
  </si>
  <si>
    <t>Average GST(5%)Collected</t>
  </si>
  <si>
    <t>Highest amount payed after GST</t>
  </si>
  <si>
    <t>GST(5%)</t>
  </si>
  <si>
    <t>Highest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</si>
</sst>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11"/>
      <name val="Calibri"/>
    </font>
    <font>
      <b/>
      <sz val="10"/>
      <color rgb="FF1F3864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10"/>
      <color rgb="FF1F497D"/>
      <name val="Courier New"/>
    </font>
    <font>
      <b/>
      <sz val="10"/>
      <color rgb="FF7B0000"/>
      <name val="Arial"/>
    </font>
    <font>
      <b/>
      <sz val="11"/>
      <color rgb="FF1F3864"/>
      <name val="Arial"/>
    </font>
    <font>
      <b/>
      <sz val="10"/>
      <color rgb="FF375623"/>
      <name val="Arial"/>
    </font>
    <font>
      <sz val="11"/>
      <color theme="1"/>
      <name val="Calibri"/>
    </font>
    <font>
      <b/>
      <sz val="9"/>
      <color rgb="FF1F3864"/>
      <name val="Arial"/>
    </font>
    <font>
      <b/>
      <sz val="10"/>
      <color rgb="FF000000"/>
      <name val="Arial"/>
    </font>
    <font>
      <sz val="11"/>
      <color theme="1"/>
      <name val="Calibri"/>
      <scheme val="minor"/>
    </font>
    <font>
      <i/>
      <sz val="9"/>
      <color rgb="FF375623"/>
      <name val="Arial"/>
    </font>
    <font>
      <b/>
      <sz val="9"/>
      <color rgb="FF1F497D"/>
      <name val="Arial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2CC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1" fillId="0" borderId="0" xfId="0" applyFont="1"/>
    <xf numFmtId="0" fontId="12" fillId="3" borderId="4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14" fillId="0" borderId="0" xfId="0" applyFont="1"/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15" fillId="8" borderId="4" xfId="0" applyFont="1" applyFill="1" applyBorder="1" applyAlignment="1">
      <alignment horizontal="left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8" fillId="0" borderId="0" xfId="0" applyFont="1"/>
    <xf numFmtId="0" fontId="20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8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F08EE3-B2DC-4829-B11C-628439935B41}" name="Table1" displayName="Table1" ref="A1:I26" totalsRowShown="0" headerRowDxfId="12" dataDxfId="11">
  <autoFilter ref="A1:I26" xr:uid="{21F08EE3-B2DC-4829-B11C-628439935B41}"/>
  <tableColumns count="9">
    <tableColumn id="1" xr3:uid="{084954C4-5812-4C3B-80A8-5BAA5FE92A82}" name="Product" dataDxfId="10"/>
    <tableColumn id="2" xr3:uid="{D7AD1373-207B-4451-81CD-4EE59677E858}" name="Category" dataDxfId="9"/>
    <tableColumn id="3" xr3:uid="{497F45EE-8C22-4502-9EA0-E7A1118FAF9E}" name="Quantity" dataDxfId="8"/>
    <tableColumn id="4" xr3:uid="{C591DE1F-825D-4713-AE9D-44F28140D579}" name="Unit Price" dataDxfId="7"/>
    <tableColumn id="5" xr3:uid="{E9502B12-3E76-41CC-9828-9D0B25743EB1}" name="Supplier" dataDxfId="6"/>
    <tableColumn id="6" xr3:uid="{971E1798-D8E2-4F81-BAF8-456185588612}" name="Rating" dataDxfId="5"/>
    <tableColumn id="7" xr3:uid="{BCAE1CF2-7291-497A-9F1E-CBE8E45BCA6B}" name="Total price" dataDxfId="4">
      <calculatedColumnFormula>Table1[[#This Row],[Quantity]]*Table1[[#This Row],[Unit Price]]</calculatedColumnFormula>
    </tableColumn>
    <tableColumn id="8" xr3:uid="{9FEBAAF3-65AA-4318-AECF-F3B7BB1D72D1}" name="GST(5%)" dataDxfId="3">
      <calculatedColumnFormula>Table1[[#This Row],[Total price]]*(5/100)</calculatedColumnFormula>
    </tableColumn>
    <tableColumn id="9" xr3:uid="{737488A1-1A6F-4C73-AE62-3441A87AF81D}" name="Highest Amount" dataDxfId="2">
      <calculatedColumnFormula>Table1[[#This Row],[Total price]]+Table1[[#This Row],[GST(5%)]]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4CCF86-C8CA-470B-BF74-CFBCF08E1E25}" name="Table3" displayName="Table3" ref="M3:N13" totalsRowShown="0">
  <autoFilter ref="M3:N13" xr:uid="{184CCF86-C8CA-470B-BF74-CFBCF08E1E25}"/>
  <tableColumns count="2">
    <tableColumn id="1" xr3:uid="{36EA462D-D72D-4094-8E1E-4A33526110E8}" name="Column1" dataDxfId="1"/>
    <tableColumn id="2" xr3:uid="{02549742-57FC-4ECA-B3BC-50CF866D5A4B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sqref="A1:E1"/>
    </sheetView>
  </sheetViews>
  <sheetFormatPr defaultColWidth="14.44140625" defaultRowHeight="15" customHeight="1" x14ac:dyDescent="0.3"/>
  <cols>
    <col min="1" max="1" width="13" customWidth="1"/>
    <col min="2" max="2" width="36" customWidth="1"/>
    <col min="3" max="3" width="28" customWidth="1"/>
    <col min="4" max="5" width="36" customWidth="1"/>
    <col min="6" max="26" width="8.5546875" customWidth="1"/>
  </cols>
  <sheetData>
    <row r="1" spans="1:5" ht="31.5" customHeight="1" x14ac:dyDescent="0.3">
      <c r="A1" s="34" t="s">
        <v>0</v>
      </c>
      <c r="B1" s="35"/>
      <c r="C1" s="35"/>
      <c r="D1" s="35"/>
      <c r="E1" s="36"/>
    </row>
    <row r="2" spans="1:5" ht="14.25" customHeight="1" x14ac:dyDescent="0.3">
      <c r="A2" s="37" t="s">
        <v>1</v>
      </c>
      <c r="B2" s="35"/>
      <c r="C2" s="35"/>
      <c r="D2" s="35"/>
      <c r="E2" s="36"/>
    </row>
    <row r="3" spans="1:5" ht="19.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42" customHeight="1" x14ac:dyDescent="0.3">
      <c r="A4" s="2" t="s">
        <v>7</v>
      </c>
      <c r="B4" s="3" t="s">
        <v>8</v>
      </c>
      <c r="C4" s="4" t="s">
        <v>9</v>
      </c>
      <c r="D4" s="3" t="s">
        <v>10</v>
      </c>
      <c r="E4" s="3" t="s">
        <v>11</v>
      </c>
    </row>
    <row r="5" spans="1:5" ht="42" customHeight="1" x14ac:dyDescent="0.3">
      <c r="A5" s="5" t="s">
        <v>12</v>
      </c>
      <c r="B5" s="6" t="s">
        <v>13</v>
      </c>
      <c r="C5" s="4" t="s">
        <v>14</v>
      </c>
      <c r="D5" s="6" t="s">
        <v>15</v>
      </c>
      <c r="E5" s="6" t="s">
        <v>16</v>
      </c>
    </row>
    <row r="6" spans="1:5" ht="42" customHeight="1" x14ac:dyDescent="0.3">
      <c r="A6" s="2" t="s">
        <v>17</v>
      </c>
      <c r="B6" s="3" t="s">
        <v>18</v>
      </c>
      <c r="C6" s="4" t="s">
        <v>19</v>
      </c>
      <c r="D6" s="3" t="s">
        <v>15</v>
      </c>
      <c r="E6" s="3" t="s">
        <v>20</v>
      </c>
    </row>
    <row r="7" spans="1:5" ht="42" customHeight="1" x14ac:dyDescent="0.3">
      <c r="A7" s="5" t="s">
        <v>21</v>
      </c>
      <c r="B7" s="6" t="s">
        <v>22</v>
      </c>
      <c r="C7" s="4" t="s">
        <v>23</v>
      </c>
      <c r="D7" s="6" t="s">
        <v>24</v>
      </c>
      <c r="E7" s="6" t="s">
        <v>25</v>
      </c>
    </row>
    <row r="8" spans="1:5" ht="42" customHeight="1" x14ac:dyDescent="0.3">
      <c r="A8" s="2" t="s">
        <v>26</v>
      </c>
      <c r="B8" s="3" t="s">
        <v>27</v>
      </c>
      <c r="C8" s="4" t="s">
        <v>28</v>
      </c>
      <c r="D8" s="3" t="s">
        <v>29</v>
      </c>
      <c r="E8" s="3" t="s">
        <v>30</v>
      </c>
    </row>
    <row r="9" spans="1:5" ht="14.25" customHeight="1" x14ac:dyDescent="0.3"/>
    <row r="10" spans="1:5" ht="13.5" customHeight="1" x14ac:dyDescent="0.3">
      <c r="A10" s="38" t="s">
        <v>31</v>
      </c>
      <c r="B10" s="35"/>
      <c r="C10" s="35"/>
      <c r="D10" s="35"/>
      <c r="E10" s="36"/>
    </row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1:E1"/>
    <mergeCell ref="A2:E2"/>
    <mergeCell ref="A10:E10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activeCell="C25" sqref="C25"/>
    </sheetView>
  </sheetViews>
  <sheetFormatPr defaultColWidth="14.44140625" defaultRowHeight="15" customHeight="1" x14ac:dyDescent="0.3"/>
  <cols>
    <col min="1" max="1" width="14" customWidth="1"/>
    <col min="2" max="2" width="18.5546875" bestFit="1" customWidth="1"/>
    <col min="3" max="3" width="14" customWidth="1"/>
    <col min="4" max="4" width="16" customWidth="1"/>
    <col min="5" max="6" width="14" customWidth="1"/>
    <col min="7" max="7" width="20" customWidth="1"/>
    <col min="8" max="9" width="8.5546875" customWidth="1"/>
    <col min="10" max="10" width="42.21875" bestFit="1" customWidth="1"/>
    <col min="11" max="26" width="8.5546875" customWidth="1"/>
  </cols>
  <sheetData>
    <row r="1" spans="1:11" ht="31.5" customHeight="1" x14ac:dyDescent="0.3">
      <c r="A1" s="34" t="s">
        <v>32</v>
      </c>
      <c r="B1" s="35"/>
      <c r="C1" s="35"/>
      <c r="D1" s="35"/>
      <c r="E1" s="35"/>
      <c r="F1" s="35"/>
      <c r="G1" s="36"/>
    </row>
    <row r="2" spans="1:11" ht="18" customHeight="1" x14ac:dyDescent="0.3">
      <c r="A2" s="37" t="s">
        <v>33</v>
      </c>
      <c r="B2" s="35"/>
      <c r="C2" s="35"/>
      <c r="D2" s="35"/>
      <c r="E2" s="35"/>
      <c r="F2" s="35"/>
      <c r="G2" s="36"/>
      <c r="J2" s="27" t="s">
        <v>151</v>
      </c>
      <c r="K2" s="27" t="s">
        <v>156</v>
      </c>
    </row>
    <row r="3" spans="1:11" ht="19.5" customHeight="1" x14ac:dyDescent="0.3">
      <c r="A3" s="7" t="s">
        <v>34</v>
      </c>
      <c r="B3" s="7" t="s">
        <v>35</v>
      </c>
      <c r="C3" s="7" t="s">
        <v>36</v>
      </c>
      <c r="D3" s="7" t="s">
        <v>37</v>
      </c>
      <c r="E3" s="7" t="s">
        <v>38</v>
      </c>
      <c r="F3" s="7" t="s">
        <v>39</v>
      </c>
      <c r="G3" s="7" t="s">
        <v>40</v>
      </c>
      <c r="J3" s="28" t="s">
        <v>150</v>
      </c>
      <c r="K3" s="29">
        <f>SUM(B6:G6)</f>
        <v>675</v>
      </c>
    </row>
    <row r="4" spans="1:11" ht="19.5" customHeight="1" x14ac:dyDescent="0.3">
      <c r="A4" s="6" t="s">
        <v>41</v>
      </c>
      <c r="B4" s="8">
        <v>88</v>
      </c>
      <c r="C4" s="8">
        <v>72</v>
      </c>
      <c r="D4" s="8">
        <v>95</v>
      </c>
      <c r="E4" s="8">
        <v>60</v>
      </c>
      <c r="F4" s="8">
        <v>110</v>
      </c>
      <c r="G4" s="8">
        <v>130</v>
      </c>
      <c r="J4" s="29" t="s">
        <v>152</v>
      </c>
      <c r="K4" s="29">
        <f>AVERAGE(E4:E9)</f>
        <v>60.833333333333336</v>
      </c>
    </row>
    <row r="5" spans="1:11" ht="19.5" customHeight="1" x14ac:dyDescent="0.3">
      <c r="A5" s="3" t="s">
        <v>42</v>
      </c>
      <c r="B5" s="9">
        <v>45</v>
      </c>
      <c r="C5" s="9">
        <v>50</v>
      </c>
      <c r="D5" s="9">
        <v>38</v>
      </c>
      <c r="E5" s="9">
        <v>70</v>
      </c>
      <c r="F5" s="9">
        <v>62</v>
      </c>
      <c r="G5" s="9">
        <v>80</v>
      </c>
      <c r="J5" s="29" t="s">
        <v>153</v>
      </c>
      <c r="K5" s="29">
        <f>COUNT(B4:B9)</f>
        <v>5</v>
      </c>
    </row>
    <row r="6" spans="1:11" ht="19.5" customHeight="1" x14ac:dyDescent="0.3">
      <c r="A6" s="6" t="s">
        <v>43</v>
      </c>
      <c r="B6" s="8"/>
      <c r="C6" s="8">
        <v>105</v>
      </c>
      <c r="D6" s="8">
        <v>140</v>
      </c>
      <c r="E6" s="8">
        <v>95</v>
      </c>
      <c r="F6" s="8">
        <v>160</v>
      </c>
      <c r="G6" s="8">
        <v>175</v>
      </c>
      <c r="J6" s="29" t="s">
        <v>155</v>
      </c>
      <c r="K6" s="29">
        <f>SUM(B4:B9,F4:F9)</f>
        <v>840</v>
      </c>
    </row>
    <row r="7" spans="1:11" ht="19.5" customHeight="1" x14ac:dyDescent="0.3">
      <c r="A7" s="3" t="s">
        <v>44</v>
      </c>
      <c r="B7" s="9">
        <v>30</v>
      </c>
      <c r="C7" s="9">
        <v>28</v>
      </c>
      <c r="D7" s="9">
        <v>45</v>
      </c>
      <c r="E7" s="9">
        <v>20</v>
      </c>
      <c r="F7" s="9">
        <v>55</v>
      </c>
      <c r="G7" s="9">
        <v>40</v>
      </c>
      <c r="J7" s="29" t="s">
        <v>154</v>
      </c>
      <c r="K7" s="29">
        <f>MIN(B7:G7)</f>
        <v>20</v>
      </c>
    </row>
    <row r="8" spans="1:11" ht="19.5" customHeight="1" x14ac:dyDescent="0.3">
      <c r="A8" s="6" t="s">
        <v>45</v>
      </c>
      <c r="B8" s="8">
        <v>75</v>
      </c>
      <c r="C8" s="8">
        <v>68</v>
      </c>
      <c r="D8" s="8">
        <v>80</v>
      </c>
      <c r="E8" s="8">
        <v>55</v>
      </c>
      <c r="F8" s="8">
        <v>90</v>
      </c>
      <c r="G8" s="8">
        <v>100</v>
      </c>
    </row>
    <row r="9" spans="1:11" ht="19.5" customHeight="1" x14ac:dyDescent="0.3">
      <c r="A9" s="3" t="s">
        <v>46</v>
      </c>
      <c r="B9" s="9">
        <v>55</v>
      </c>
      <c r="C9" s="9">
        <v>60</v>
      </c>
      <c r="D9" s="9">
        <v>50</v>
      </c>
      <c r="E9" s="9">
        <v>65</v>
      </c>
      <c r="F9" s="9">
        <v>70</v>
      </c>
      <c r="G9" s="9">
        <v>85</v>
      </c>
    </row>
    <row r="10" spans="1:11" ht="14.25" customHeight="1" x14ac:dyDescent="0.3"/>
    <row r="11" spans="1:11" ht="13.5" customHeight="1" x14ac:dyDescent="0.3">
      <c r="A11" s="37" t="s">
        <v>47</v>
      </c>
      <c r="B11" s="35"/>
      <c r="C11" s="35"/>
      <c r="D11" s="35"/>
      <c r="E11" s="35"/>
      <c r="F11" s="35"/>
      <c r="G11" s="36"/>
    </row>
    <row r="12" spans="1:11" ht="19.5" customHeight="1" x14ac:dyDescent="0.3">
      <c r="A12" s="7" t="s">
        <v>48</v>
      </c>
      <c r="B12" s="7" t="s">
        <v>49</v>
      </c>
      <c r="C12" s="7" t="s">
        <v>50</v>
      </c>
      <c r="D12" s="40" t="s">
        <v>51</v>
      </c>
      <c r="E12" s="35"/>
      <c r="F12" s="35"/>
      <c r="G12" s="41"/>
    </row>
    <row r="13" spans="1:11" ht="25.5" customHeight="1" x14ac:dyDescent="0.3">
      <c r="A13" s="1" t="s">
        <v>7</v>
      </c>
      <c r="B13" s="10" t="s">
        <v>52</v>
      </c>
      <c r="C13" s="11"/>
      <c r="D13" s="39" t="s">
        <v>53</v>
      </c>
      <c r="E13" s="35"/>
      <c r="F13" s="35"/>
      <c r="G13" s="36"/>
      <c r="H13" s="25">
        <f>SUM(B4:B9)</f>
        <v>293</v>
      </c>
      <c r="I13" s="12"/>
    </row>
    <row r="14" spans="1:11" ht="25.5" customHeight="1" x14ac:dyDescent="0.3">
      <c r="A14" s="1" t="s">
        <v>12</v>
      </c>
      <c r="B14" s="10" t="s">
        <v>54</v>
      </c>
      <c r="C14" s="11"/>
      <c r="D14" s="39" t="s">
        <v>55</v>
      </c>
      <c r="E14" s="35"/>
      <c r="F14" s="35"/>
      <c r="G14" s="36"/>
      <c r="H14" s="25">
        <f>MIN(B4:B9)</f>
        <v>30</v>
      </c>
    </row>
    <row r="15" spans="1:11" ht="25.5" customHeight="1" x14ac:dyDescent="0.3">
      <c r="A15" s="1" t="s">
        <v>17</v>
      </c>
      <c r="B15" s="10" t="s">
        <v>56</v>
      </c>
      <c r="C15" s="11"/>
      <c r="D15" s="39" t="s">
        <v>57</v>
      </c>
      <c r="E15" s="35"/>
      <c r="F15" s="35"/>
      <c r="G15" s="36"/>
      <c r="H15" s="25">
        <f>MAX(B4:B9)</f>
        <v>88</v>
      </c>
    </row>
    <row r="16" spans="1:11" ht="25.5" customHeight="1" x14ac:dyDescent="0.3">
      <c r="A16" s="1" t="s">
        <v>21</v>
      </c>
      <c r="B16" s="10" t="s">
        <v>58</v>
      </c>
      <c r="C16" s="11"/>
      <c r="D16" s="39" t="s">
        <v>59</v>
      </c>
      <c r="E16" s="35"/>
      <c r="F16" s="35"/>
      <c r="G16" s="36"/>
      <c r="H16" s="25">
        <f>COUNT(B4:B9)</f>
        <v>5</v>
      </c>
    </row>
    <row r="17" spans="1:8" ht="25.5" customHeight="1" x14ac:dyDescent="0.3">
      <c r="A17" s="1" t="s">
        <v>26</v>
      </c>
      <c r="B17" s="10" t="s">
        <v>60</v>
      </c>
      <c r="C17" s="11"/>
      <c r="D17" s="39" t="s">
        <v>61</v>
      </c>
      <c r="E17" s="35"/>
      <c r="F17" s="35"/>
      <c r="G17" s="36"/>
      <c r="H17" s="25">
        <f>AVERAGE(B4:B9)</f>
        <v>58.6</v>
      </c>
    </row>
    <row r="18" spans="1:8" ht="14.25" customHeight="1" x14ac:dyDescent="0.3"/>
    <row r="19" spans="1:8" ht="13.5" customHeight="1" x14ac:dyDescent="0.3">
      <c r="A19" s="38" t="s">
        <v>62</v>
      </c>
      <c r="B19" s="35"/>
      <c r="C19" s="35"/>
      <c r="D19" s="35"/>
      <c r="E19" s="35"/>
      <c r="F19" s="35"/>
      <c r="G19" s="36"/>
    </row>
    <row r="20" spans="1:8" ht="14.25" customHeight="1" x14ac:dyDescent="0.3"/>
    <row r="21" spans="1:8" ht="14.25" customHeight="1" x14ac:dyDescent="0.3"/>
    <row r="22" spans="1:8" ht="14.25" customHeight="1" x14ac:dyDescent="0.3"/>
    <row r="23" spans="1:8" ht="14.25" customHeight="1" x14ac:dyDescent="0.3"/>
    <row r="24" spans="1:8" ht="14.25" customHeight="1" x14ac:dyDescent="0.3"/>
    <row r="25" spans="1:8" ht="14.25" customHeight="1" x14ac:dyDescent="0.3"/>
    <row r="26" spans="1:8" ht="14.25" customHeight="1" x14ac:dyDescent="0.3"/>
    <row r="27" spans="1:8" ht="14.25" customHeight="1" x14ac:dyDescent="0.3"/>
    <row r="28" spans="1:8" ht="14.25" customHeight="1" x14ac:dyDescent="0.3"/>
    <row r="29" spans="1:8" ht="14.25" customHeight="1" x14ac:dyDescent="0.3"/>
    <row r="30" spans="1:8" ht="14.25" customHeight="1" x14ac:dyDescent="0.3"/>
    <row r="31" spans="1:8" ht="14.25" customHeight="1" x14ac:dyDescent="0.3"/>
    <row r="32" spans="1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0">
    <mergeCell ref="D16:G16"/>
    <mergeCell ref="D17:G17"/>
    <mergeCell ref="A19:G19"/>
    <mergeCell ref="A1:G1"/>
    <mergeCell ref="A2:G2"/>
    <mergeCell ref="A11:G11"/>
    <mergeCell ref="D12:G12"/>
    <mergeCell ref="D13:G13"/>
    <mergeCell ref="D14:G14"/>
    <mergeCell ref="D15:G15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>
      <selection activeCell="F10" sqref="F10"/>
    </sheetView>
  </sheetViews>
  <sheetFormatPr defaultColWidth="14.44140625" defaultRowHeight="15" customHeight="1" x14ac:dyDescent="0.3"/>
  <cols>
    <col min="1" max="1" width="10" customWidth="1"/>
    <col min="2" max="9" width="8.33203125" customWidth="1"/>
    <col min="10" max="10" width="57" customWidth="1"/>
    <col min="11" max="26" width="8.33203125" customWidth="1"/>
  </cols>
  <sheetData>
    <row r="1" spans="1:11" ht="31.5" customHeight="1" x14ac:dyDescent="0.3">
      <c r="A1" s="34" t="s">
        <v>63</v>
      </c>
      <c r="B1" s="35"/>
      <c r="C1" s="35"/>
      <c r="D1" s="35"/>
      <c r="E1" s="35"/>
      <c r="F1" s="35"/>
      <c r="G1" s="36"/>
      <c r="I1" s="37" t="s">
        <v>64</v>
      </c>
      <c r="J1" s="35"/>
      <c r="K1" s="35"/>
    </row>
    <row r="2" spans="1:11" ht="18" customHeight="1" x14ac:dyDescent="0.3">
      <c r="A2" s="37" t="s">
        <v>65</v>
      </c>
      <c r="B2" s="35"/>
      <c r="C2" s="35"/>
      <c r="D2" s="35"/>
      <c r="E2" s="35"/>
      <c r="F2" s="35"/>
      <c r="G2" s="36"/>
      <c r="I2" s="13" t="s">
        <v>66</v>
      </c>
      <c r="J2" s="13" t="s">
        <v>67</v>
      </c>
      <c r="K2" s="13" t="s">
        <v>68</v>
      </c>
    </row>
    <row r="3" spans="1:11" ht="19.5" customHeight="1" x14ac:dyDescent="0.3">
      <c r="A3" s="7" t="s">
        <v>69</v>
      </c>
      <c r="B3" s="7" t="s">
        <v>70</v>
      </c>
      <c r="C3" s="7" t="s">
        <v>71</v>
      </c>
      <c r="D3" s="7" t="s">
        <v>72</v>
      </c>
      <c r="E3" s="7" t="s">
        <v>73</v>
      </c>
      <c r="F3" s="7" t="s">
        <v>74</v>
      </c>
      <c r="G3" s="7" t="s">
        <v>75</v>
      </c>
      <c r="I3" s="14" t="s">
        <v>76</v>
      </c>
      <c r="J3" s="6" t="s">
        <v>77</v>
      </c>
      <c r="K3" s="15">
        <f>SUM(B4:G4)</f>
        <v>350</v>
      </c>
    </row>
    <row r="4" spans="1:11" ht="21.75" customHeight="1" x14ac:dyDescent="0.3">
      <c r="A4" s="6" t="s">
        <v>78</v>
      </c>
      <c r="B4" s="8">
        <v>42</v>
      </c>
      <c r="C4" s="8">
        <v>55</v>
      </c>
      <c r="D4" s="8">
        <v>38</v>
      </c>
      <c r="E4" s="8">
        <v>60</v>
      </c>
      <c r="F4" s="8">
        <v>70</v>
      </c>
      <c r="G4" s="8">
        <v>85</v>
      </c>
      <c r="I4" s="14" t="s">
        <v>79</v>
      </c>
      <c r="J4" s="6" t="s">
        <v>80</v>
      </c>
      <c r="K4" s="15">
        <f>SUM(B5:G5)</f>
        <v>550</v>
      </c>
    </row>
    <row r="5" spans="1:11" ht="21.75" customHeight="1" x14ac:dyDescent="0.3">
      <c r="A5" s="16" t="s">
        <v>81</v>
      </c>
      <c r="B5" s="17">
        <v>90</v>
      </c>
      <c r="C5" s="17">
        <v>80</v>
      </c>
      <c r="D5" s="17">
        <v>95</v>
      </c>
      <c r="E5" s="17">
        <v>75</v>
      </c>
      <c r="F5" s="17">
        <v>100</v>
      </c>
      <c r="G5" s="17">
        <v>110</v>
      </c>
      <c r="I5" s="14" t="s">
        <v>82</v>
      </c>
      <c r="J5" s="6" t="s">
        <v>83</v>
      </c>
      <c r="K5" s="15">
        <f>MIN(B4:B9)</f>
        <v>15</v>
      </c>
    </row>
    <row r="6" spans="1:11" ht="21.75" customHeight="1" x14ac:dyDescent="0.3">
      <c r="A6" s="6" t="s">
        <v>84</v>
      </c>
      <c r="B6" s="8">
        <v>30</v>
      </c>
      <c r="C6" s="8">
        <v>28</v>
      </c>
      <c r="D6" s="8">
        <v>35</v>
      </c>
      <c r="E6" s="8">
        <v>22</v>
      </c>
      <c r="F6" s="8">
        <v>40</v>
      </c>
      <c r="G6" s="8">
        <v>50</v>
      </c>
      <c r="I6" s="14" t="s">
        <v>85</v>
      </c>
      <c r="J6" s="6" t="s">
        <v>86</v>
      </c>
      <c r="K6" s="15">
        <f>MAX(B6:G6)</f>
        <v>50</v>
      </c>
    </row>
    <row r="7" spans="1:11" ht="21.75" customHeight="1" x14ac:dyDescent="0.3">
      <c r="A7" s="16" t="s">
        <v>87</v>
      </c>
      <c r="B7" s="17">
        <v>15</v>
      </c>
      <c r="C7" s="17">
        <v>20</v>
      </c>
      <c r="D7" s="17">
        <v>18</v>
      </c>
      <c r="E7" s="17">
        <v>25</v>
      </c>
      <c r="F7" s="17">
        <v>30</v>
      </c>
      <c r="G7" s="17">
        <v>45</v>
      </c>
      <c r="I7" s="14" t="s">
        <v>88</v>
      </c>
      <c r="J7" s="6" t="s">
        <v>89</v>
      </c>
      <c r="K7" s="15">
        <f>COUNT(D4:D9)</f>
        <v>6</v>
      </c>
    </row>
    <row r="8" spans="1:11" ht="21.75" customHeight="1" x14ac:dyDescent="0.3">
      <c r="A8" s="6" t="s">
        <v>90</v>
      </c>
      <c r="B8" s="8">
        <v>25</v>
      </c>
      <c r="C8" s="8">
        <v>30</v>
      </c>
      <c r="D8" s="8">
        <v>27</v>
      </c>
      <c r="E8" s="8">
        <v>35</v>
      </c>
      <c r="F8" s="8">
        <v>40</v>
      </c>
      <c r="G8" s="8">
        <v>55</v>
      </c>
      <c r="I8" s="14" t="s">
        <v>91</v>
      </c>
      <c r="J8" s="6" t="s">
        <v>92</v>
      </c>
      <c r="K8" s="15">
        <f>AVERAGE(G4:G9)</f>
        <v>68.333333333333329</v>
      </c>
    </row>
    <row r="9" spans="1:11" ht="21.75" customHeight="1" x14ac:dyDescent="0.3">
      <c r="A9" s="16" t="s">
        <v>93</v>
      </c>
      <c r="B9" s="17">
        <v>50</v>
      </c>
      <c r="C9" s="17">
        <v>45</v>
      </c>
      <c r="D9" s="17">
        <v>60</v>
      </c>
      <c r="E9" s="17">
        <v>42</v>
      </c>
      <c r="F9" s="17">
        <v>55</v>
      </c>
      <c r="G9" s="17">
        <v>65</v>
      </c>
      <c r="I9" s="14" t="s">
        <v>94</v>
      </c>
      <c r="J9" s="6" t="s">
        <v>95</v>
      </c>
      <c r="K9" s="15">
        <f>SUM(B4:G9)</f>
        <v>1787</v>
      </c>
    </row>
    <row r="10" spans="1:11" ht="14.25" customHeight="1" x14ac:dyDescent="0.3">
      <c r="I10" s="14" t="s">
        <v>96</v>
      </c>
      <c r="J10" s="18" t="s">
        <v>97</v>
      </c>
      <c r="K10" s="15">
        <f>SUM(B4:G4,B9:G9)</f>
        <v>667</v>
      </c>
    </row>
    <row r="11" spans="1:11" ht="18" customHeight="1" x14ac:dyDescent="0.3">
      <c r="D11" s="19"/>
      <c r="E11" s="19"/>
      <c r="F11" s="19"/>
      <c r="G11" s="20"/>
      <c r="I11" s="14"/>
      <c r="K11" s="33"/>
    </row>
    <row r="12" spans="1:11" ht="19.5" customHeight="1" x14ac:dyDescent="0.3">
      <c r="D12" s="21"/>
      <c r="E12" s="21"/>
      <c r="F12" s="21"/>
      <c r="G12" s="21"/>
      <c r="I12" s="14"/>
      <c r="K12" s="33"/>
    </row>
    <row r="13" spans="1:11" ht="30" customHeight="1" x14ac:dyDescent="0.3">
      <c r="D13" s="22"/>
      <c r="E13" s="22"/>
      <c r="F13" s="23"/>
      <c r="G13" s="24"/>
    </row>
    <row r="14" spans="1:11" ht="30" customHeight="1" x14ac:dyDescent="0.3">
      <c r="D14" s="22"/>
      <c r="E14" s="22"/>
      <c r="F14" s="23"/>
      <c r="G14" s="24"/>
    </row>
    <row r="15" spans="1:11" ht="30" customHeight="1" x14ac:dyDescent="0.3">
      <c r="D15" s="22"/>
      <c r="E15" s="22"/>
      <c r="F15" s="23"/>
      <c r="G15" s="24"/>
    </row>
    <row r="16" spans="1:11" ht="30" customHeight="1" x14ac:dyDescent="0.3">
      <c r="D16" s="22"/>
      <c r="E16" s="22"/>
      <c r="F16" s="23"/>
      <c r="G16" s="24"/>
    </row>
    <row r="17" spans="1:7" ht="30" customHeight="1" x14ac:dyDescent="0.3">
      <c r="D17" s="22"/>
      <c r="E17" s="22"/>
      <c r="F17" s="23"/>
      <c r="G17" s="24"/>
    </row>
    <row r="18" spans="1:7" ht="30" customHeight="1" x14ac:dyDescent="0.3">
      <c r="D18" s="22"/>
      <c r="E18" s="22"/>
      <c r="F18" s="23"/>
      <c r="G18" s="24"/>
    </row>
    <row r="19" spans="1:7" ht="30" customHeight="1" x14ac:dyDescent="0.3">
      <c r="D19" s="22"/>
      <c r="E19" s="22"/>
      <c r="F19" s="23"/>
      <c r="G19" s="24"/>
    </row>
    <row r="20" spans="1:7" ht="14.25" customHeight="1" x14ac:dyDescent="0.3"/>
    <row r="21" spans="1:7" ht="13.5" customHeight="1" x14ac:dyDescent="0.3">
      <c r="A21" s="42"/>
      <c r="B21" s="35"/>
      <c r="C21" s="35"/>
      <c r="D21" s="35"/>
      <c r="E21" s="35"/>
      <c r="F21" s="35"/>
      <c r="G21" s="36"/>
    </row>
    <row r="22" spans="1:7" ht="14.25" customHeight="1" x14ac:dyDescent="0.3"/>
    <row r="23" spans="1:7" ht="14.25" customHeight="1" x14ac:dyDescent="0.3"/>
    <row r="24" spans="1:7" ht="14.25" customHeight="1" x14ac:dyDescent="0.3"/>
    <row r="25" spans="1:7" ht="14.25" customHeight="1" x14ac:dyDescent="0.3"/>
    <row r="26" spans="1:7" ht="14.25" customHeight="1" x14ac:dyDescent="0.3"/>
    <row r="27" spans="1:7" ht="14.25" customHeight="1" x14ac:dyDescent="0.3"/>
    <row r="28" spans="1:7" ht="14.25" customHeight="1" x14ac:dyDescent="0.3"/>
    <row r="29" spans="1:7" ht="14.25" customHeight="1" x14ac:dyDescent="0.3"/>
    <row r="30" spans="1:7" ht="14.25" customHeight="1" x14ac:dyDescent="0.3"/>
    <row r="31" spans="1:7" ht="14.25" customHeight="1" x14ac:dyDescent="0.3"/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">
    <mergeCell ref="A1:G1"/>
    <mergeCell ref="I1:K1"/>
    <mergeCell ref="A2:G2"/>
    <mergeCell ref="A21:G21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tabSelected="1" topLeftCell="E1" zoomScale="96" zoomScaleNormal="96" workbookViewId="0">
      <selection activeCell="L15" sqref="L15"/>
    </sheetView>
  </sheetViews>
  <sheetFormatPr defaultColWidth="14.44140625" defaultRowHeight="23.4" customHeight="1" x14ac:dyDescent="0.3"/>
  <cols>
    <col min="1" max="1" width="15.5546875" customWidth="1"/>
    <col min="2" max="2" width="15.21875" customWidth="1"/>
    <col min="3" max="3" width="14.44140625" customWidth="1"/>
    <col min="4" max="4" width="16.77734375" customWidth="1"/>
    <col min="5" max="5" width="14" customWidth="1"/>
    <col min="6" max="6" width="18.6640625" customWidth="1"/>
    <col min="7" max="7" width="13.5546875" customWidth="1"/>
    <col min="8" max="8" width="11.21875" customWidth="1"/>
    <col min="9" max="9" width="18.5546875" customWidth="1"/>
    <col min="10" max="10" width="45.5546875" customWidth="1"/>
    <col min="11" max="11" width="10.77734375" customWidth="1"/>
    <col min="12" max="12" width="8.6640625" customWidth="1"/>
    <col min="13" max="13" width="41.33203125" customWidth="1"/>
    <col min="14" max="14" width="15.6640625" customWidth="1"/>
    <col min="15" max="26" width="8.6640625" customWidth="1"/>
  </cols>
  <sheetData>
    <row r="1" spans="1:14" ht="23.4" customHeight="1" x14ac:dyDescent="0.3">
      <c r="A1" s="32" t="s">
        <v>98</v>
      </c>
      <c r="B1" s="32" t="s">
        <v>99</v>
      </c>
      <c r="C1" s="32" t="s">
        <v>100</v>
      </c>
      <c r="D1" s="32" t="s">
        <v>101</v>
      </c>
      <c r="E1" s="32" t="s">
        <v>102</v>
      </c>
      <c r="F1" s="32" t="s">
        <v>103</v>
      </c>
      <c r="G1" s="32" t="s">
        <v>158</v>
      </c>
      <c r="H1" s="32" t="s">
        <v>162</v>
      </c>
      <c r="I1" s="32" t="s">
        <v>163</v>
      </c>
    </row>
    <row r="2" spans="1:14" ht="23.4" customHeight="1" x14ac:dyDescent="0.3">
      <c r="A2" s="31" t="s">
        <v>104</v>
      </c>
      <c r="B2" s="31" t="s">
        <v>105</v>
      </c>
      <c r="C2" s="31">
        <v>15</v>
      </c>
      <c r="D2" s="31">
        <v>45</v>
      </c>
      <c r="E2" s="31" t="s">
        <v>106</v>
      </c>
      <c r="F2" s="31">
        <v>4.5</v>
      </c>
      <c r="G2" s="31">
        <f>Table1[[#This Row],[Quantity]]*Table1[[#This Row],[Unit Price]]</f>
        <v>675</v>
      </c>
      <c r="H2" s="31">
        <f>Table1[[#This Row],[Total price]]*(5/100)</f>
        <v>33.75</v>
      </c>
      <c r="I2" s="31">
        <f>Table1[[#This Row],[Total price]]+Table1[[#This Row],[GST(5%)]]</f>
        <v>708.75</v>
      </c>
    </row>
    <row r="3" spans="1:14" ht="23.4" customHeight="1" x14ac:dyDescent="0.35">
      <c r="A3" s="31" t="s">
        <v>107</v>
      </c>
      <c r="B3" s="31" t="s">
        <v>105</v>
      </c>
      <c r="C3" s="31">
        <v>30</v>
      </c>
      <c r="D3" s="31">
        <v>12</v>
      </c>
      <c r="E3" s="31" t="s">
        <v>108</v>
      </c>
      <c r="F3" s="31">
        <v>4.2</v>
      </c>
      <c r="G3" s="31">
        <f>Table1[[#This Row],[Quantity]]*Table1[[#This Row],[Unit Price]]</f>
        <v>360</v>
      </c>
      <c r="H3" s="31">
        <f>Table1[[#This Row],[Total price]]*(5/100)</f>
        <v>18</v>
      </c>
      <c r="I3" s="31">
        <f>Table1[[#This Row],[Total price]]+Table1[[#This Row],[GST(5%)]]</f>
        <v>378</v>
      </c>
      <c r="M3" s="30" t="s">
        <v>157</v>
      </c>
      <c r="N3" s="26" t="s">
        <v>159</v>
      </c>
    </row>
    <row r="4" spans="1:14" ht="23.4" customHeight="1" x14ac:dyDescent="0.35">
      <c r="A4" s="31" t="s">
        <v>110</v>
      </c>
      <c r="B4" s="31" t="s">
        <v>105</v>
      </c>
      <c r="C4" s="31">
        <v>25</v>
      </c>
      <c r="D4" s="31">
        <v>8</v>
      </c>
      <c r="E4" s="31" t="s">
        <v>106</v>
      </c>
      <c r="F4" s="31">
        <v>4.0999999999999996</v>
      </c>
      <c r="G4" s="31">
        <f>Table1[[#This Row],[Quantity]]*Table1[[#This Row],[Unit Price]]</f>
        <v>200</v>
      </c>
      <c r="H4" s="31">
        <f>Table1[[#This Row],[Total price]]*(5/100)</f>
        <v>10</v>
      </c>
      <c r="I4" s="31">
        <f>Table1[[#This Row],[Total price]]+Table1[[#This Row],[GST(5%)]]</f>
        <v>210</v>
      </c>
      <c r="M4" s="30" t="s">
        <v>109</v>
      </c>
      <c r="N4" s="26">
        <f>SUM(Table1[Total price])</f>
        <v>39991</v>
      </c>
    </row>
    <row r="5" spans="1:14" ht="23.4" customHeight="1" x14ac:dyDescent="0.35">
      <c r="A5" s="31" t="s">
        <v>112</v>
      </c>
      <c r="B5" s="31" t="s">
        <v>105</v>
      </c>
      <c r="C5" s="31">
        <v>18</v>
      </c>
      <c r="D5" s="31">
        <v>5</v>
      </c>
      <c r="E5" s="31"/>
      <c r="F5" s="31">
        <v>3.9</v>
      </c>
      <c r="G5" s="31">
        <f>Table1[[#This Row],[Quantity]]*Table1[[#This Row],[Unit Price]]</f>
        <v>90</v>
      </c>
      <c r="H5" s="31">
        <f>Table1[[#This Row],[Total price]]*(5/100)</f>
        <v>4.5</v>
      </c>
      <c r="I5" s="31">
        <f>Table1[[#This Row],[Total price]]+Table1[[#This Row],[GST(5%)]]</f>
        <v>94.5</v>
      </c>
      <c r="M5" s="30" t="s">
        <v>111</v>
      </c>
      <c r="N5" s="26">
        <f>AVERAGE(Table1[Total price])</f>
        <v>1599.64</v>
      </c>
    </row>
    <row r="6" spans="1:14" ht="23.4" customHeight="1" x14ac:dyDescent="0.35">
      <c r="A6" s="31" t="s">
        <v>114</v>
      </c>
      <c r="B6" s="31" t="s">
        <v>105</v>
      </c>
      <c r="C6" s="31">
        <v>12</v>
      </c>
      <c r="D6" s="31">
        <v>35</v>
      </c>
      <c r="E6" s="31" t="s">
        <v>108</v>
      </c>
      <c r="F6" s="31">
        <v>4.5999999999999996</v>
      </c>
      <c r="G6" s="31">
        <f>Table1[[#This Row],[Quantity]]*Table1[[#This Row],[Unit Price]]</f>
        <v>420</v>
      </c>
      <c r="H6" s="31">
        <f>Table1[[#This Row],[Total price]]*(5/100)</f>
        <v>21</v>
      </c>
      <c r="I6" s="31">
        <f>Table1[[#This Row],[Total price]]+Table1[[#This Row],[GST(5%)]]</f>
        <v>441</v>
      </c>
      <c r="M6" s="30" t="s">
        <v>113</v>
      </c>
      <c r="N6" s="26">
        <f>COUNTA(Table1[Product])</f>
        <v>25</v>
      </c>
    </row>
    <row r="7" spans="1:14" ht="23.4" customHeight="1" x14ac:dyDescent="0.35">
      <c r="A7" s="31" t="s">
        <v>116</v>
      </c>
      <c r="B7" s="31" t="s">
        <v>105</v>
      </c>
      <c r="C7" s="31">
        <v>20</v>
      </c>
      <c r="D7" s="31">
        <v>18</v>
      </c>
      <c r="E7" s="31" t="s">
        <v>117</v>
      </c>
      <c r="F7" s="31">
        <v>4</v>
      </c>
      <c r="G7" s="31">
        <f>Table1[[#This Row],[Quantity]]*Table1[[#This Row],[Unit Price]]</f>
        <v>360</v>
      </c>
      <c r="H7" s="31">
        <f>Table1[[#This Row],[Total price]]*(5/100)</f>
        <v>18</v>
      </c>
      <c r="I7" s="31">
        <f>Table1[[#This Row],[Total price]]+Table1[[#This Row],[GST(5%)]]</f>
        <v>378</v>
      </c>
      <c r="M7" s="30" t="s">
        <v>115</v>
      </c>
      <c r="N7" s="26">
        <f>MIN(Table1[Rating])</f>
        <v>3.8</v>
      </c>
    </row>
    <row r="8" spans="1:14" ht="23.4" customHeight="1" x14ac:dyDescent="0.35">
      <c r="A8" s="31" t="s">
        <v>119</v>
      </c>
      <c r="B8" s="31" t="s">
        <v>120</v>
      </c>
      <c r="C8" s="31">
        <v>8</v>
      </c>
      <c r="D8" s="31">
        <v>120</v>
      </c>
      <c r="E8" s="31" t="s">
        <v>121</v>
      </c>
      <c r="F8" s="31">
        <v>4.4000000000000004</v>
      </c>
      <c r="G8" s="31">
        <f>Table1[[#This Row],[Quantity]]*Table1[[#This Row],[Unit Price]]</f>
        <v>960</v>
      </c>
      <c r="H8" s="31">
        <f>Table1[[#This Row],[Total price]]*(5/100)</f>
        <v>48</v>
      </c>
      <c r="I8" s="31">
        <f>Table1[[#This Row],[Total price]]+Table1[[#This Row],[GST(5%)]]</f>
        <v>1008</v>
      </c>
      <c r="M8" s="30" t="s">
        <v>118</v>
      </c>
      <c r="N8" s="26">
        <f>MAX(Table1[Unit Price])</f>
        <v>4500</v>
      </c>
    </row>
    <row r="9" spans="1:14" ht="23.4" customHeight="1" x14ac:dyDescent="0.35">
      <c r="A9" s="31" t="s">
        <v>123</v>
      </c>
      <c r="B9" s="31" t="s">
        <v>120</v>
      </c>
      <c r="C9" s="31">
        <v>10</v>
      </c>
      <c r="D9" s="31">
        <v>250</v>
      </c>
      <c r="E9" s="31"/>
      <c r="F9" s="31">
        <v>4.3</v>
      </c>
      <c r="G9" s="31">
        <f>Table1[[#This Row],[Quantity]]*Table1[[#This Row],[Unit Price]]</f>
        <v>2500</v>
      </c>
      <c r="H9" s="31">
        <f>Table1[[#This Row],[Total price]]*(5/100)</f>
        <v>125</v>
      </c>
      <c r="I9" s="31">
        <f>Table1[[#This Row],[Total price]]+Table1[[#This Row],[GST(5%)]]</f>
        <v>2625</v>
      </c>
      <c r="M9" s="30" t="s">
        <v>122</v>
      </c>
      <c r="N9" s="26">
        <f>COUNTA(Table1[Product])</f>
        <v>25</v>
      </c>
    </row>
    <row r="10" spans="1:14" ht="23.4" customHeight="1" x14ac:dyDescent="0.35">
      <c r="A10" s="31" t="s">
        <v>125</v>
      </c>
      <c r="B10" s="31" t="s">
        <v>105</v>
      </c>
      <c r="C10" s="31">
        <v>14</v>
      </c>
      <c r="D10" s="31">
        <v>22</v>
      </c>
      <c r="E10" s="31" t="s">
        <v>117</v>
      </c>
      <c r="F10" s="31"/>
      <c r="G10" s="31">
        <f>Table1[[#This Row],[Quantity]]*Table1[[#This Row],[Unit Price]]</f>
        <v>308</v>
      </c>
      <c r="H10" s="31">
        <f>Table1[[#This Row],[Total price]]*(5/100)</f>
        <v>15.4</v>
      </c>
      <c r="I10" s="31">
        <f>Table1[[#This Row],[Total price]]+Table1[[#This Row],[GST(5%)]]</f>
        <v>323.39999999999998</v>
      </c>
      <c r="M10" s="30" t="s">
        <v>124</v>
      </c>
      <c r="N10" s="26">
        <f>COUNTA(Table1[Supplier])</f>
        <v>22</v>
      </c>
    </row>
    <row r="11" spans="1:14" ht="23.4" customHeight="1" x14ac:dyDescent="0.35">
      <c r="A11" s="31" t="s">
        <v>127</v>
      </c>
      <c r="B11" s="31" t="s">
        <v>105</v>
      </c>
      <c r="C11" s="31">
        <v>9</v>
      </c>
      <c r="D11" s="31">
        <v>40</v>
      </c>
      <c r="E11" s="31" t="s">
        <v>106</v>
      </c>
      <c r="F11" s="31">
        <v>4.7</v>
      </c>
      <c r="G11" s="31">
        <f>Table1[[#This Row],[Quantity]]*Table1[[#This Row],[Unit Price]]</f>
        <v>360</v>
      </c>
      <c r="H11" s="31">
        <f>Table1[[#This Row],[Total price]]*(5/100)</f>
        <v>18</v>
      </c>
      <c r="I11" s="31">
        <f>Table1[[#This Row],[Total price]]+Table1[[#This Row],[GST(5%)]]</f>
        <v>378</v>
      </c>
      <c r="M11" s="30" t="s">
        <v>126</v>
      </c>
      <c r="N11" s="26">
        <f>COUNT(Table1[Rating])</f>
        <v>22</v>
      </c>
    </row>
    <row r="12" spans="1:14" ht="23.4" customHeight="1" x14ac:dyDescent="0.35">
      <c r="A12" s="31" t="s">
        <v>128</v>
      </c>
      <c r="B12" s="31" t="s">
        <v>120</v>
      </c>
      <c r="C12" s="31">
        <v>16</v>
      </c>
      <c r="D12" s="31">
        <v>28</v>
      </c>
      <c r="E12" s="31" t="s">
        <v>121</v>
      </c>
      <c r="F12" s="31">
        <v>4.0999999999999996</v>
      </c>
      <c r="G12" s="31">
        <f>Table1[[#This Row],[Quantity]]*Table1[[#This Row],[Unit Price]]</f>
        <v>448</v>
      </c>
      <c r="H12" s="31">
        <f>Table1[[#This Row],[Total price]]*(5/100)</f>
        <v>22.400000000000002</v>
      </c>
      <c r="I12" s="31">
        <f>Table1[[#This Row],[Total price]]+Table1[[#This Row],[GST(5%)]]</f>
        <v>470.4</v>
      </c>
      <c r="M12" s="30" t="s">
        <v>160</v>
      </c>
      <c r="N12" s="26">
        <f>AVERAGE(Table1[GST(5%)])</f>
        <v>79.981999999999999</v>
      </c>
    </row>
    <row r="13" spans="1:14" ht="23.4" customHeight="1" x14ac:dyDescent="0.35">
      <c r="A13" s="31" t="s">
        <v>129</v>
      </c>
      <c r="B13" s="31" t="s">
        <v>120</v>
      </c>
      <c r="C13" s="31">
        <v>7</v>
      </c>
      <c r="D13" s="31">
        <v>75</v>
      </c>
      <c r="E13" s="31" t="s">
        <v>108</v>
      </c>
      <c r="F13" s="31">
        <v>4</v>
      </c>
      <c r="G13" s="31">
        <f>Table1[[#This Row],[Quantity]]*Table1[[#This Row],[Unit Price]]</f>
        <v>525</v>
      </c>
      <c r="H13" s="31">
        <f>Table1[[#This Row],[Total price]]*(5/100)</f>
        <v>26.25</v>
      </c>
      <c r="I13" s="31">
        <f>Table1[[#This Row],[Total price]]+Table1[[#This Row],[GST(5%)]]</f>
        <v>551.25</v>
      </c>
      <c r="M13" s="30" t="s">
        <v>161</v>
      </c>
      <c r="N13" s="26">
        <f>MAX(Table1[Highest Amount])</f>
        <v>4851</v>
      </c>
    </row>
    <row r="14" spans="1:14" ht="23.4" customHeight="1" x14ac:dyDescent="0.3">
      <c r="A14" s="31" t="s">
        <v>130</v>
      </c>
      <c r="B14" s="31" t="s">
        <v>131</v>
      </c>
      <c r="C14" s="31">
        <v>5</v>
      </c>
      <c r="D14" s="31">
        <v>550</v>
      </c>
      <c r="E14" s="31" t="s">
        <v>132</v>
      </c>
      <c r="F14" s="31">
        <v>4.8</v>
      </c>
      <c r="G14" s="31">
        <f>Table1[[#This Row],[Quantity]]*Table1[[#This Row],[Unit Price]]</f>
        <v>2750</v>
      </c>
      <c r="H14" s="31">
        <f>Table1[[#This Row],[Total price]]*(5/100)</f>
        <v>137.5</v>
      </c>
      <c r="I14" s="31">
        <f>Table1[[#This Row],[Total price]]+Table1[[#This Row],[GST(5%)]]</f>
        <v>2887.5</v>
      </c>
    </row>
    <row r="15" spans="1:14" ht="23.4" customHeight="1" x14ac:dyDescent="0.3">
      <c r="A15" s="31" t="s">
        <v>133</v>
      </c>
      <c r="B15" s="31" t="s">
        <v>131</v>
      </c>
      <c r="C15" s="31">
        <v>11</v>
      </c>
      <c r="D15" s="31">
        <v>420</v>
      </c>
      <c r="E15" s="31" t="s">
        <v>132</v>
      </c>
      <c r="F15" s="31"/>
      <c r="G15" s="31">
        <f>Table1[[#This Row],[Quantity]]*Table1[[#This Row],[Unit Price]]</f>
        <v>4620</v>
      </c>
      <c r="H15" s="31">
        <f>Table1[[#This Row],[Total price]]*(5/100)</f>
        <v>231</v>
      </c>
      <c r="I15" s="31">
        <f>Table1[[#This Row],[Total price]]+Table1[[#This Row],[GST(5%)]]</f>
        <v>4851</v>
      </c>
    </row>
    <row r="16" spans="1:14" ht="23.4" customHeight="1" x14ac:dyDescent="0.3">
      <c r="A16" s="31" t="s">
        <v>134</v>
      </c>
      <c r="B16" s="31" t="s">
        <v>131</v>
      </c>
      <c r="C16" s="31">
        <v>6</v>
      </c>
      <c r="D16" s="31">
        <v>650</v>
      </c>
      <c r="E16" s="31" t="s">
        <v>135</v>
      </c>
      <c r="F16" s="31">
        <v>4.5</v>
      </c>
      <c r="G16" s="31">
        <f>Table1[[#This Row],[Quantity]]*Table1[[#This Row],[Unit Price]]</f>
        <v>3900</v>
      </c>
      <c r="H16" s="31">
        <f>Table1[[#This Row],[Total price]]*(5/100)</f>
        <v>195</v>
      </c>
      <c r="I16" s="31">
        <f>Table1[[#This Row],[Total price]]+Table1[[#This Row],[GST(5%)]]</f>
        <v>4095</v>
      </c>
    </row>
    <row r="17" spans="1:9" ht="23.4" customHeight="1" x14ac:dyDescent="0.3">
      <c r="A17" s="31" t="s">
        <v>136</v>
      </c>
      <c r="B17" s="31" t="s">
        <v>131</v>
      </c>
      <c r="C17" s="31">
        <v>4</v>
      </c>
      <c r="D17" s="31">
        <v>950</v>
      </c>
      <c r="E17" s="31" t="s">
        <v>135</v>
      </c>
      <c r="F17" s="31">
        <v>4.4000000000000004</v>
      </c>
      <c r="G17" s="31">
        <f>Table1[[#This Row],[Quantity]]*Table1[[#This Row],[Unit Price]]</f>
        <v>3800</v>
      </c>
      <c r="H17" s="31">
        <f>Table1[[#This Row],[Total price]]*(5/100)</f>
        <v>190</v>
      </c>
      <c r="I17" s="31">
        <f>Table1[[#This Row],[Total price]]+Table1[[#This Row],[GST(5%)]]</f>
        <v>3990</v>
      </c>
    </row>
    <row r="18" spans="1:9" ht="23.4" customHeight="1" x14ac:dyDescent="0.3">
      <c r="A18" s="31" t="s">
        <v>137</v>
      </c>
      <c r="B18" s="31" t="s">
        <v>131</v>
      </c>
      <c r="C18" s="31">
        <v>3</v>
      </c>
      <c r="D18" s="31">
        <v>1250</v>
      </c>
      <c r="E18" s="31"/>
      <c r="F18" s="31">
        <v>4.5999999999999996</v>
      </c>
      <c r="G18" s="31">
        <f>Table1[[#This Row],[Quantity]]*Table1[[#This Row],[Unit Price]]</f>
        <v>3750</v>
      </c>
      <c r="H18" s="31">
        <f>Table1[[#This Row],[Total price]]*(5/100)</f>
        <v>187.5</v>
      </c>
      <c r="I18" s="31">
        <f>Table1[[#This Row],[Total price]]+Table1[[#This Row],[GST(5%)]]</f>
        <v>3937.5</v>
      </c>
    </row>
    <row r="19" spans="1:9" ht="23.4" customHeight="1" x14ac:dyDescent="0.3">
      <c r="A19" s="31" t="s">
        <v>138</v>
      </c>
      <c r="B19" s="31" t="s">
        <v>139</v>
      </c>
      <c r="C19" s="31">
        <v>5</v>
      </c>
      <c r="D19" s="31">
        <v>850</v>
      </c>
      <c r="E19" s="31" t="s">
        <v>140</v>
      </c>
      <c r="F19" s="31">
        <v>4.3</v>
      </c>
      <c r="G19" s="31">
        <f>Table1[[#This Row],[Quantity]]*Table1[[#This Row],[Unit Price]]</f>
        <v>4250</v>
      </c>
      <c r="H19" s="31">
        <f>Table1[[#This Row],[Total price]]*(5/100)</f>
        <v>212.5</v>
      </c>
      <c r="I19" s="31">
        <f>Table1[[#This Row],[Total price]]+Table1[[#This Row],[GST(5%)]]</f>
        <v>4462.5</v>
      </c>
    </row>
    <row r="20" spans="1:9" ht="23.4" customHeight="1" x14ac:dyDescent="0.3">
      <c r="A20" s="31" t="s">
        <v>141</v>
      </c>
      <c r="B20" s="31" t="s">
        <v>142</v>
      </c>
      <c r="C20" s="31"/>
      <c r="D20" s="31">
        <v>180</v>
      </c>
      <c r="E20" s="31" t="s">
        <v>140</v>
      </c>
      <c r="F20" s="31">
        <v>4.2</v>
      </c>
      <c r="G20" s="31">
        <f>Table1[[#This Row],[Quantity]]*Table1[[#This Row],[Unit Price]]</f>
        <v>0</v>
      </c>
      <c r="H20" s="31">
        <f>Table1[[#This Row],[Total price]]*(5/100)</f>
        <v>0</v>
      </c>
      <c r="I20" s="31">
        <f>Table1[[#This Row],[Total price]]+Table1[[#This Row],[GST(5%)]]</f>
        <v>0</v>
      </c>
    </row>
    <row r="21" spans="1:9" ht="23.4" customHeight="1" x14ac:dyDescent="0.3">
      <c r="A21" s="31" t="s">
        <v>143</v>
      </c>
      <c r="B21" s="31" t="s">
        <v>142</v>
      </c>
      <c r="C21" s="31">
        <v>8</v>
      </c>
      <c r="D21" s="31"/>
      <c r="E21" s="31" t="s">
        <v>117</v>
      </c>
      <c r="F21" s="31">
        <v>4.5</v>
      </c>
      <c r="G21" s="31">
        <f>Table1[[#This Row],[Quantity]]*Table1[[#This Row],[Unit Price]]</f>
        <v>0</v>
      </c>
      <c r="H21" s="31">
        <f>Table1[[#This Row],[Total price]]*(5/100)</f>
        <v>0</v>
      </c>
      <c r="I21" s="31">
        <f>Table1[[#This Row],[Total price]]+Table1[[#This Row],[GST(5%)]]</f>
        <v>0</v>
      </c>
    </row>
    <row r="22" spans="1:9" ht="23.4" customHeight="1" x14ac:dyDescent="0.3">
      <c r="A22" s="31" t="s">
        <v>144</v>
      </c>
      <c r="B22" s="31" t="s">
        <v>139</v>
      </c>
      <c r="C22" s="31">
        <v>2</v>
      </c>
      <c r="D22" s="31">
        <v>2200</v>
      </c>
      <c r="E22" s="31" t="s">
        <v>145</v>
      </c>
      <c r="F22" s="31">
        <v>4.0999999999999996</v>
      </c>
      <c r="G22" s="31">
        <f>Table1[[#This Row],[Quantity]]*Table1[[#This Row],[Unit Price]]</f>
        <v>4400</v>
      </c>
      <c r="H22" s="31">
        <f>Table1[[#This Row],[Total price]]*(5/100)</f>
        <v>220</v>
      </c>
      <c r="I22" s="31">
        <f>Table1[[#This Row],[Total price]]+Table1[[#This Row],[GST(5%)]]</f>
        <v>4620</v>
      </c>
    </row>
    <row r="23" spans="1:9" ht="23.4" customHeight="1" x14ac:dyDescent="0.3">
      <c r="A23" s="31" t="s">
        <v>146</v>
      </c>
      <c r="B23" s="31" t="s">
        <v>139</v>
      </c>
      <c r="C23" s="31">
        <v>1</v>
      </c>
      <c r="D23" s="31">
        <v>4500</v>
      </c>
      <c r="E23" s="31" t="s">
        <v>145</v>
      </c>
      <c r="F23" s="31"/>
      <c r="G23" s="31">
        <f>Table1[[#This Row],[Quantity]]*Table1[[#This Row],[Unit Price]]</f>
        <v>4500</v>
      </c>
      <c r="H23" s="31">
        <f>Table1[[#This Row],[Total price]]*(5/100)</f>
        <v>225</v>
      </c>
      <c r="I23" s="31">
        <f>Table1[[#This Row],[Total price]]+Table1[[#This Row],[GST(5%)]]</f>
        <v>4725</v>
      </c>
    </row>
    <row r="24" spans="1:9" ht="23.4" customHeight="1" x14ac:dyDescent="0.3">
      <c r="A24" s="31" t="s">
        <v>147</v>
      </c>
      <c r="B24" s="31" t="s">
        <v>105</v>
      </c>
      <c r="C24" s="31">
        <v>13</v>
      </c>
      <c r="D24" s="31">
        <v>30</v>
      </c>
      <c r="E24" s="31" t="s">
        <v>106</v>
      </c>
      <c r="F24" s="31">
        <v>4</v>
      </c>
      <c r="G24" s="31">
        <f>Table1[[#This Row],[Quantity]]*Table1[[#This Row],[Unit Price]]</f>
        <v>390</v>
      </c>
      <c r="H24" s="31">
        <f>Table1[[#This Row],[Total price]]*(5/100)</f>
        <v>19.5</v>
      </c>
      <c r="I24" s="31">
        <f>Table1[[#This Row],[Total price]]+Table1[[#This Row],[GST(5%)]]</f>
        <v>409.5</v>
      </c>
    </row>
    <row r="25" spans="1:9" ht="23.4" customHeight="1" x14ac:dyDescent="0.3">
      <c r="A25" s="31" t="s">
        <v>148</v>
      </c>
      <c r="B25" s="31" t="s">
        <v>120</v>
      </c>
      <c r="C25" s="31"/>
      <c r="D25" s="31">
        <v>15</v>
      </c>
      <c r="E25" s="31" t="s">
        <v>121</v>
      </c>
      <c r="F25" s="31">
        <v>3.8</v>
      </c>
      <c r="G25" s="31">
        <f>Table1[[#This Row],[Quantity]]*Table1[[#This Row],[Unit Price]]</f>
        <v>0</v>
      </c>
      <c r="H25" s="31">
        <f>Table1[[#This Row],[Total price]]*(5/100)</f>
        <v>0</v>
      </c>
      <c r="I25" s="31">
        <f>Table1[[#This Row],[Total price]]+Table1[[#This Row],[GST(5%)]]</f>
        <v>0</v>
      </c>
    </row>
    <row r="26" spans="1:9" ht="23.4" customHeight="1" x14ac:dyDescent="0.3">
      <c r="A26" s="31" t="s">
        <v>149</v>
      </c>
      <c r="B26" s="31" t="s">
        <v>105</v>
      </c>
      <c r="C26" s="31">
        <v>17</v>
      </c>
      <c r="D26" s="31">
        <v>25</v>
      </c>
      <c r="E26" s="31" t="s">
        <v>108</v>
      </c>
      <c r="F26" s="31">
        <v>4.4000000000000004</v>
      </c>
      <c r="G26" s="31">
        <f>Table1[[#This Row],[Quantity]]*Table1[[#This Row],[Unit Price]]</f>
        <v>425</v>
      </c>
      <c r="H26" s="31">
        <f>Table1[[#This Row],[Total price]]*(5/100)</f>
        <v>21.25</v>
      </c>
      <c r="I26" s="31">
        <f>Table1[[#This Row],[Total price]]+Table1[[#This Row],[GST(5%)]]</f>
        <v>446.25</v>
      </c>
    </row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 - Basic Formulas</vt:lpstr>
      <vt:lpstr>Examples - Basic Formulas</vt:lpstr>
      <vt:lpstr>Tasks - Basic Formulas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muneer olavilam</cp:lastModifiedBy>
  <dcterms:created xsi:type="dcterms:W3CDTF">2026-06-23T03:48:03Z</dcterms:created>
  <dcterms:modified xsi:type="dcterms:W3CDTF">2026-09-20T19:00:57Z</dcterms:modified>
</cp:coreProperties>
</file>